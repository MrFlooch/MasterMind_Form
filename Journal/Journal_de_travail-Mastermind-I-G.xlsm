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grammation\P_Mastermind-IG_Félix-Sierro\Journal\"/>
    </mc:Choice>
  </mc:AlternateContent>
  <xr:revisionPtr revIDLastSave="0" documentId="13_ncr:1_{BFD88733-E5B4-4709-A75D-263A85ED8C5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Diagramme!$B$3:$B$12</definedName>
    <definedName name="lstTasks">Donnees!$C$20:$C$45</definedName>
    <definedName name="NbLessons">Diagramme!$C$3:$C$12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7" l="1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11" i="156"/>
  <c r="B97" i="156"/>
  <c r="B83" i="156"/>
  <c r="B69" i="156"/>
  <c r="B55" i="156"/>
  <c r="B41" i="156"/>
  <c r="B27" i="156"/>
  <c r="B13" i="156"/>
  <c r="B11" i="155"/>
  <c r="B9" i="155"/>
  <c r="B7" i="155"/>
  <c r="B5" i="155"/>
  <c r="C14" i="155"/>
  <c r="C13" i="155"/>
  <c r="B18" i="154" l="1"/>
  <c r="B13" i="11" l="1"/>
</calcChain>
</file>

<file path=xl/sharedStrings.xml><?xml version="1.0" encoding="utf-8"?>
<sst xmlns="http://schemas.openxmlformats.org/spreadsheetml/2006/main" count="313" uniqueCount="62">
  <si>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</si>
  <si>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</si>
  <si>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</si>
  <si>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</si>
  <si>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</si>
  <si>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</si>
  <si>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</si>
  <si>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</si>
  <si>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</si>
  <si>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</si>
  <si>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</si>
  <si>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</si>
  <si>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</si>
  <si>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</si>
  <si>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</si>
  <si>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</si>
  <si>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</si>
  <si>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</si>
  <si>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</si>
  <si>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</si>
  <si>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</si>
  <si>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</si>
  <si>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</si>
  <si>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</si>
  <si>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11,01,2024</t>
  </si>
  <si>
    <t>Mastermind interface graphique</t>
  </si>
  <si>
    <t>Félix Sierro</t>
  </si>
  <si>
    <t>FIN1</t>
  </si>
  <si>
    <t>ETML, Vennes</t>
  </si>
  <si>
    <t>09,11,2023</t>
  </si>
  <si>
    <t>Analyse</t>
  </si>
  <si>
    <t>Documentation</t>
  </si>
  <si>
    <t>Réalisation</t>
  </si>
  <si>
    <t>Test</t>
  </si>
  <si>
    <t>S 1</t>
  </si>
  <si>
    <t>S 2</t>
  </si>
  <si>
    <t>S 3</t>
  </si>
  <si>
    <t>S 4</t>
  </si>
  <si>
    <t>S 5</t>
  </si>
  <si>
    <t>S 6</t>
  </si>
  <si>
    <t>S 7</t>
  </si>
  <si>
    <t>S 8</t>
  </si>
  <si>
    <t>Max. 12</t>
  </si>
  <si>
    <t>STOP</t>
  </si>
  <si>
    <t>Lecture du cahier des charges</t>
  </si>
  <si>
    <t>Pause</t>
  </si>
  <si>
    <t>comment transmettre mon code dans une interface graphic (quoi garder et quoi jeter)</t>
  </si>
  <si>
    <t>réalisation de l'esquisse préliminaire de la maquette</t>
  </si>
  <si>
    <t>journal et sauvegarde des travaux faits</t>
  </si>
  <si>
    <t>Journal</t>
  </si>
  <si>
    <t>planification de la scéance</t>
  </si>
  <si>
    <t>réalisation du menu du mastermind</t>
  </si>
  <si>
    <t>réalisation de la page menu et règle du mastermind</t>
  </si>
  <si>
    <t>réalisation de la page règle et option du mastermind</t>
  </si>
  <si>
    <t>Revision du code et commentaire</t>
  </si>
  <si>
    <t>test des fonctionnalité du jeu</t>
  </si>
  <si>
    <t>retour sur les fonctionnalités</t>
  </si>
  <si>
    <t>mise en forme de la page option et code</t>
  </si>
  <si>
    <t>mise en forme de la page menu et Game</t>
  </si>
  <si>
    <t>implémentation de la possibilité de changer de fond dans le jeu</t>
  </si>
  <si>
    <t>implémentation de changer de langue</t>
  </si>
  <si>
    <t>redaction des commentaires du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</si>
</sst>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4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9" borderId="0" xfId="0" applyFill="1" applyBorder="1" applyProtection="1"/>
    <xf numFmtId="0" fontId="4" fillId="9" borderId="0" xfId="0" applyFont="1" applyFill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5" borderId="40" xfId="0" applyFill="1" applyBorder="1" applyProtection="1"/>
    <xf numFmtId="0" fontId="0" fillId="16" borderId="45" xfId="0" applyFill="1" applyBorder="1" applyProtection="1"/>
    <xf numFmtId="0" fontId="8" fillId="0" borderId="47" xfId="0" applyFont="1" applyFill="1" applyBorder="1" applyAlignment="1" applyProtection="1">
      <alignment horizontal="left" vertical="top" wrapText="1"/>
      <protection locked="0"/>
    </xf>
    <xf numFmtId="0" fontId="0" fillId="9" borderId="2" xfId="0" applyFill="1" applyBorder="1"/>
    <xf numFmtId="0" fontId="0" fillId="9" borderId="2" xfId="0" applyFill="1" applyBorder="1" applyProtection="1"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abSelected="1" view="pageBreakPreview" topLeftCell="A4" zoomScaleNormal="100" zoomScaleSheetLayoutView="100" workbookViewId="0">
      <selection activeCell="C26" sqref="C26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25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26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27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28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 t="s">
        <v>29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 t="s">
        <v>24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9" t="s">
        <v>19</v>
      </c>
      <c r="C19" s="130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45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49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5D247-C7A8-4631-81F6-437DB8B10C19}">
  <sheetPr codeName="Feuil7"/>
  <dimension ref="A1:CU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99" ht="14.25" thickBot="1" x14ac:dyDescent="0.3">
      <c r="B1" s="89"/>
      <c r="C1" s="89"/>
    </row>
    <row r="2" spans="1:99" ht="42.75" customHeight="1" thickBot="1" x14ac:dyDescent="0.3">
      <c r="A2" s="90"/>
      <c r="B2" s="23" t="s">
        <v>5</v>
      </c>
      <c r="C2" s="15" t="s">
        <v>18</v>
      </c>
      <c r="D2" s="133" t="s">
        <v>34</v>
      </c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5"/>
      <c r="P2" s="133" t="s">
        <v>35</v>
      </c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5"/>
      <c r="AB2" s="133" t="s">
        <v>36</v>
      </c>
      <c r="AC2" s="134"/>
      <c r="AD2" s="134"/>
      <c r="AE2" s="134"/>
      <c r="AF2" s="134"/>
      <c r="AG2" s="134"/>
      <c r="AH2" s="134"/>
      <c r="AI2" s="134"/>
      <c r="AJ2" s="134"/>
      <c r="AK2" s="134"/>
      <c r="AL2" s="134"/>
      <c r="AM2" s="135"/>
      <c r="AN2" s="133" t="s">
        <v>37</v>
      </c>
      <c r="AO2" s="134"/>
      <c r="AP2" s="134"/>
      <c r="AQ2" s="134"/>
      <c r="AR2" s="134"/>
      <c r="AS2" s="134"/>
      <c r="AT2" s="134"/>
      <c r="AU2" s="134"/>
      <c r="AV2" s="134"/>
      <c r="AW2" s="134"/>
      <c r="AX2" s="134"/>
      <c r="AY2" s="135"/>
      <c r="AZ2" s="133" t="s">
        <v>38</v>
      </c>
      <c r="BA2" s="134"/>
      <c r="BB2" s="134"/>
      <c r="BC2" s="134"/>
      <c r="BD2" s="134"/>
      <c r="BE2" s="134"/>
      <c r="BF2" s="134"/>
      <c r="BG2" s="134"/>
      <c r="BH2" s="134"/>
      <c r="BI2" s="134"/>
      <c r="BJ2" s="134"/>
      <c r="BK2" s="135"/>
      <c r="BL2" s="133" t="s">
        <v>39</v>
      </c>
      <c r="BM2" s="134"/>
      <c r="BN2" s="134"/>
      <c r="BO2" s="134"/>
      <c r="BP2" s="134"/>
      <c r="BQ2" s="134"/>
      <c r="BR2" s="134"/>
      <c r="BS2" s="134"/>
      <c r="BT2" s="134"/>
      <c r="BU2" s="134"/>
      <c r="BV2" s="134"/>
      <c r="BW2" s="135"/>
      <c r="BX2" s="133" t="s">
        <v>40</v>
      </c>
      <c r="BY2" s="134"/>
      <c r="BZ2" s="134"/>
      <c r="CA2" s="134"/>
      <c r="CB2" s="134"/>
      <c r="CC2" s="134"/>
      <c r="CD2" s="134"/>
      <c r="CE2" s="134"/>
      <c r="CF2" s="134"/>
      <c r="CG2" s="134"/>
      <c r="CH2" s="134"/>
      <c r="CI2" s="135"/>
      <c r="CJ2" s="133" t="s">
        <v>41</v>
      </c>
      <c r="CK2" s="134"/>
      <c r="CL2" s="134"/>
      <c r="CM2" s="134"/>
      <c r="CN2" s="134"/>
      <c r="CO2" s="134"/>
      <c r="CP2" s="134"/>
      <c r="CQ2" s="134"/>
      <c r="CR2" s="134"/>
      <c r="CS2" s="134"/>
      <c r="CT2" s="134"/>
      <c r="CU2" s="135"/>
    </row>
    <row r="3" spans="1:99" ht="19.5" customHeight="1" x14ac:dyDescent="0.25">
      <c r="A3" s="90"/>
      <c r="B3" s="136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5"/>
      <c r="P3" s="91"/>
      <c r="Q3" s="92"/>
      <c r="R3" s="93"/>
      <c r="S3" s="94"/>
      <c r="T3" s="92"/>
      <c r="U3" s="93"/>
      <c r="V3" s="94"/>
      <c r="W3" s="92"/>
      <c r="X3" s="93"/>
      <c r="Y3" s="94"/>
      <c r="Z3" s="92"/>
      <c r="AA3" s="95"/>
      <c r="AB3" s="91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5"/>
      <c r="AZ3" s="91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5"/>
      <c r="BL3" s="91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5"/>
      <c r="BX3" s="91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5"/>
      <c r="CJ3" s="91"/>
      <c r="CK3" s="92"/>
      <c r="CL3" s="93"/>
      <c r="CM3" s="94"/>
      <c r="CN3" s="92"/>
      <c r="CO3" s="93"/>
      <c r="CP3" s="94"/>
      <c r="CQ3" s="92"/>
      <c r="CR3" s="93"/>
      <c r="CS3" s="94"/>
      <c r="CT3" s="92"/>
      <c r="CU3" s="95"/>
    </row>
    <row r="4" spans="1:99" ht="19.5" customHeight="1" thickBot="1" x14ac:dyDescent="0.3">
      <c r="A4" s="90"/>
      <c r="B4" s="137"/>
      <c r="C4" s="22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100"/>
      <c r="P4" s="96"/>
      <c r="Q4" s="97"/>
      <c r="R4" s="98"/>
      <c r="S4" s="99"/>
      <c r="T4" s="97"/>
      <c r="U4" s="98"/>
      <c r="V4" s="99"/>
      <c r="W4" s="97"/>
      <c r="X4" s="98"/>
      <c r="Y4" s="99"/>
      <c r="Z4" s="97"/>
      <c r="AA4" s="100"/>
      <c r="AB4" s="96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100"/>
      <c r="AZ4" s="96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100"/>
      <c r="BL4" s="96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100"/>
      <c r="BX4" s="96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100"/>
      <c r="CJ4" s="96"/>
      <c r="CK4" s="97"/>
      <c r="CL4" s="98"/>
      <c r="CM4" s="99"/>
      <c r="CN4" s="97"/>
      <c r="CO4" s="98"/>
      <c r="CP4" s="99"/>
      <c r="CQ4" s="97"/>
      <c r="CR4" s="98"/>
      <c r="CS4" s="99"/>
      <c r="CT4" s="97"/>
      <c r="CU4" s="100"/>
    </row>
    <row r="5" spans="1:99" ht="19.5" customHeight="1" x14ac:dyDescent="0.25">
      <c r="B5" s="138" t="str">
        <f>Donnees!$C$21</f>
        <v>Analyse</v>
      </c>
      <c r="C5" s="101">
        <v>16</v>
      </c>
      <c r="D5" s="116"/>
      <c r="E5" s="117"/>
      <c r="F5" s="93"/>
      <c r="G5" s="94"/>
      <c r="H5" s="92"/>
      <c r="I5" s="93"/>
      <c r="J5" s="94"/>
      <c r="K5" s="117"/>
      <c r="L5" s="118"/>
      <c r="M5" s="119"/>
      <c r="N5" s="117"/>
      <c r="O5" s="95"/>
      <c r="P5" s="91"/>
      <c r="Q5" s="92"/>
      <c r="R5" s="93"/>
      <c r="S5" s="94"/>
      <c r="T5" s="92"/>
      <c r="U5" s="93"/>
      <c r="V5" s="94"/>
      <c r="W5" s="92"/>
      <c r="X5" s="93"/>
      <c r="Y5" s="119"/>
      <c r="Z5" s="117"/>
      <c r="AA5" s="95"/>
      <c r="AB5" s="91"/>
      <c r="AC5" s="92"/>
      <c r="AD5" s="93"/>
      <c r="AE5" s="94"/>
      <c r="AF5" s="92"/>
      <c r="AG5" s="93"/>
      <c r="AH5" s="94"/>
      <c r="AI5" s="117"/>
      <c r="AJ5" s="118"/>
      <c r="AK5" s="94"/>
      <c r="AL5" s="92"/>
      <c r="AM5" s="95"/>
      <c r="AN5" s="91"/>
      <c r="AO5" s="92"/>
      <c r="AP5" s="93"/>
      <c r="AQ5" s="94"/>
      <c r="AR5" s="92"/>
      <c r="AS5" s="118"/>
      <c r="AT5" s="119"/>
      <c r="AU5" s="92"/>
      <c r="AV5" s="93"/>
      <c r="AW5" s="94"/>
      <c r="AX5" s="92"/>
      <c r="AY5" s="95"/>
      <c r="AZ5" s="91"/>
      <c r="BA5" s="92"/>
      <c r="BB5" s="118"/>
      <c r="BC5" s="119"/>
      <c r="BD5" s="92"/>
      <c r="BE5" s="93"/>
      <c r="BF5" s="94"/>
      <c r="BG5" s="92"/>
      <c r="BH5" s="93"/>
      <c r="BI5" s="94"/>
      <c r="BJ5" s="92"/>
      <c r="BK5" s="95"/>
      <c r="BL5" s="116"/>
      <c r="BM5" s="117"/>
      <c r="BN5" s="93"/>
      <c r="BO5" s="94"/>
      <c r="BP5" s="92"/>
      <c r="BQ5" s="93"/>
      <c r="BR5" s="94"/>
      <c r="BS5" s="92"/>
      <c r="BT5" s="93"/>
      <c r="BU5" s="94"/>
      <c r="BV5" s="92"/>
      <c r="BW5" s="95"/>
      <c r="BX5" s="91"/>
      <c r="BY5" s="92"/>
      <c r="BZ5" s="93"/>
      <c r="CA5" s="94"/>
      <c r="CB5" s="92"/>
      <c r="CC5" s="93"/>
      <c r="CD5" s="94"/>
      <c r="CE5" s="92"/>
      <c r="CF5" s="93"/>
      <c r="CG5" s="94"/>
      <c r="CH5" s="92"/>
      <c r="CI5" s="95"/>
      <c r="CJ5" s="91"/>
      <c r="CK5" s="92"/>
      <c r="CL5" s="93"/>
      <c r="CM5" s="94"/>
      <c r="CN5" s="92"/>
      <c r="CO5" s="93"/>
      <c r="CP5" s="94"/>
      <c r="CQ5" s="92"/>
      <c r="CR5" s="93"/>
      <c r="CS5" s="94"/>
      <c r="CT5" s="92"/>
      <c r="CU5" s="95"/>
    </row>
    <row r="6" spans="1:99" ht="19.5" customHeight="1" thickBot="1" x14ac:dyDescent="0.3">
      <c r="B6" s="132"/>
      <c r="C6" s="102">
        <v>13</v>
      </c>
      <c r="D6" s="120"/>
      <c r="E6" s="121"/>
      <c r="F6" s="98"/>
      <c r="G6" s="99"/>
      <c r="H6" s="97"/>
      <c r="I6" s="98"/>
      <c r="J6" s="123"/>
      <c r="K6" s="121"/>
      <c r="L6" s="98"/>
      <c r="M6" s="99"/>
      <c r="N6" s="97"/>
      <c r="O6" s="100"/>
      <c r="P6" s="96"/>
      <c r="Q6" s="97"/>
      <c r="R6" s="98"/>
      <c r="S6" s="99"/>
      <c r="T6" s="97"/>
      <c r="U6" s="98"/>
      <c r="V6" s="99"/>
      <c r="W6" s="97"/>
      <c r="X6" s="98"/>
      <c r="Y6" s="123"/>
      <c r="Z6" s="121"/>
      <c r="AA6" s="100"/>
      <c r="AB6" s="96"/>
      <c r="AC6" s="97"/>
      <c r="AD6" s="98"/>
      <c r="AE6" s="99"/>
      <c r="AF6" s="97"/>
      <c r="AG6" s="98"/>
      <c r="AH6" s="99"/>
      <c r="AI6" s="121"/>
      <c r="AJ6" s="98"/>
      <c r="AK6" s="99"/>
      <c r="AL6" s="97"/>
      <c r="AM6" s="100"/>
      <c r="AN6" s="96"/>
      <c r="AO6" s="97"/>
      <c r="AP6" s="98"/>
      <c r="AQ6" s="99"/>
      <c r="AR6" s="97"/>
      <c r="AS6" s="122"/>
      <c r="AT6" s="123"/>
      <c r="AU6" s="97"/>
      <c r="AV6" s="98"/>
      <c r="AW6" s="99"/>
      <c r="AX6" s="97"/>
      <c r="AY6" s="100"/>
      <c r="AZ6" s="96"/>
      <c r="BA6" s="97"/>
      <c r="BB6" s="98"/>
      <c r="BC6" s="123"/>
      <c r="BD6" s="121"/>
      <c r="BE6" s="98"/>
      <c r="BF6" s="99"/>
      <c r="BG6" s="97"/>
      <c r="BH6" s="98"/>
      <c r="BI6" s="99"/>
      <c r="BJ6" s="97"/>
      <c r="BK6" s="100"/>
      <c r="BL6" s="96"/>
      <c r="BM6" s="121"/>
      <c r="BN6" s="122"/>
      <c r="BO6" s="99"/>
      <c r="BP6" s="97"/>
      <c r="BQ6" s="98"/>
      <c r="BR6" s="99"/>
      <c r="BS6" s="97"/>
      <c r="BT6" s="98"/>
      <c r="BU6" s="99"/>
      <c r="BV6" s="97"/>
      <c r="BW6" s="100"/>
      <c r="BX6" s="96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100"/>
      <c r="CJ6" s="96"/>
      <c r="CK6" s="97"/>
      <c r="CL6" s="98"/>
      <c r="CM6" s="99"/>
      <c r="CN6" s="97"/>
      <c r="CO6" s="98"/>
      <c r="CP6" s="99"/>
      <c r="CQ6" s="97"/>
      <c r="CR6" s="98"/>
      <c r="CS6" s="99"/>
      <c r="CT6" s="97"/>
      <c r="CU6" s="100"/>
    </row>
    <row r="7" spans="1:99" ht="19.5" customHeight="1" x14ac:dyDescent="0.25">
      <c r="B7" s="131" t="str">
        <f>Donnees!$C$22</f>
        <v>Documentation</v>
      </c>
      <c r="C7" s="101">
        <v>2</v>
      </c>
      <c r="D7" s="91"/>
      <c r="E7" s="92"/>
      <c r="F7" s="93"/>
      <c r="G7" s="94"/>
      <c r="H7" s="92"/>
      <c r="I7" s="93"/>
      <c r="J7" s="94"/>
      <c r="K7" s="92"/>
      <c r="L7" s="93"/>
      <c r="M7" s="94"/>
      <c r="N7" s="92"/>
      <c r="O7" s="95"/>
      <c r="P7" s="91"/>
      <c r="Q7" s="92"/>
      <c r="R7" s="93"/>
      <c r="S7" s="94"/>
      <c r="T7" s="92"/>
      <c r="U7" s="93"/>
      <c r="V7" s="94"/>
      <c r="W7" s="92"/>
      <c r="X7" s="93"/>
      <c r="Y7" s="94"/>
      <c r="Z7" s="92"/>
      <c r="AA7" s="95"/>
      <c r="AB7" s="116"/>
      <c r="AC7" s="92"/>
      <c r="AD7" s="93"/>
      <c r="AE7" s="94"/>
      <c r="AF7" s="92"/>
      <c r="AG7" s="93"/>
      <c r="AH7" s="94"/>
      <c r="AI7" s="92"/>
      <c r="AJ7" s="93"/>
      <c r="AK7" s="94"/>
      <c r="AL7" s="117"/>
      <c r="AM7" s="95"/>
      <c r="AN7" s="91"/>
      <c r="AO7" s="92"/>
      <c r="AP7" s="93"/>
      <c r="AQ7" s="94"/>
      <c r="AR7" s="92"/>
      <c r="AS7" s="93"/>
      <c r="AT7" s="94"/>
      <c r="AU7" s="92"/>
      <c r="AV7" s="93"/>
      <c r="AW7" s="94"/>
      <c r="AX7" s="92"/>
      <c r="AY7" s="95"/>
      <c r="AZ7" s="91"/>
      <c r="BA7" s="92"/>
      <c r="BB7" s="93"/>
      <c r="BC7" s="94"/>
      <c r="BD7" s="92"/>
      <c r="BE7" s="93"/>
      <c r="BF7" s="94"/>
      <c r="BG7" s="92"/>
      <c r="BH7" s="93"/>
      <c r="BI7" s="94"/>
      <c r="BJ7" s="92"/>
      <c r="BK7" s="95"/>
      <c r="BL7" s="91"/>
      <c r="BM7" s="92"/>
      <c r="BN7" s="93"/>
      <c r="BO7" s="94"/>
      <c r="BP7" s="92"/>
      <c r="BQ7" s="93"/>
      <c r="BR7" s="94"/>
      <c r="BS7" s="92"/>
      <c r="BT7" s="93"/>
      <c r="BU7" s="94"/>
      <c r="BV7" s="92"/>
      <c r="BW7" s="95"/>
      <c r="BX7" s="91"/>
      <c r="BY7" s="92"/>
      <c r="BZ7" s="93"/>
      <c r="CA7" s="94"/>
      <c r="CB7" s="92"/>
      <c r="CC7" s="93"/>
      <c r="CD7" s="94"/>
      <c r="CE7" s="92"/>
      <c r="CF7" s="93"/>
      <c r="CG7" s="94"/>
      <c r="CH7" s="92"/>
      <c r="CI7" s="95"/>
      <c r="CJ7" s="91"/>
      <c r="CK7" s="92"/>
      <c r="CL7" s="93"/>
      <c r="CM7" s="94"/>
      <c r="CN7" s="92"/>
      <c r="CO7" s="93"/>
      <c r="CP7" s="94"/>
      <c r="CQ7" s="92"/>
      <c r="CR7" s="93"/>
      <c r="CS7" s="94"/>
      <c r="CT7" s="92"/>
      <c r="CU7" s="95"/>
    </row>
    <row r="8" spans="1:99" ht="19.5" customHeight="1" thickBot="1" x14ac:dyDescent="0.3">
      <c r="B8" s="132"/>
      <c r="C8" s="102">
        <v>3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100"/>
      <c r="P8" s="96"/>
      <c r="Q8" s="97"/>
      <c r="R8" s="98"/>
      <c r="S8" s="99"/>
      <c r="T8" s="97"/>
      <c r="U8" s="98"/>
      <c r="V8" s="99"/>
      <c r="W8" s="97"/>
      <c r="X8" s="98"/>
      <c r="Y8" s="99"/>
      <c r="Z8" s="97"/>
      <c r="AA8" s="100"/>
      <c r="AB8" s="96"/>
      <c r="AC8" s="121"/>
      <c r="AD8" s="122"/>
      <c r="AE8" s="123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100"/>
      <c r="AZ8" s="96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100"/>
      <c r="BL8" s="96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100"/>
      <c r="BX8" s="96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100"/>
      <c r="CJ8" s="96"/>
      <c r="CK8" s="97"/>
      <c r="CL8" s="98"/>
      <c r="CM8" s="99"/>
      <c r="CN8" s="97"/>
      <c r="CO8" s="98"/>
      <c r="CP8" s="99"/>
      <c r="CQ8" s="97"/>
      <c r="CR8" s="98"/>
      <c r="CS8" s="99"/>
      <c r="CT8" s="97"/>
      <c r="CU8" s="100"/>
    </row>
    <row r="9" spans="1:99" ht="19.5" customHeight="1" x14ac:dyDescent="0.25">
      <c r="B9" s="131" t="str">
        <f>Donnees!$C$23</f>
        <v>Réalisation</v>
      </c>
      <c r="C9" s="101">
        <v>46</v>
      </c>
      <c r="D9" s="91"/>
      <c r="E9" s="92"/>
      <c r="F9" s="118"/>
      <c r="G9" s="119"/>
      <c r="H9" s="117"/>
      <c r="I9" s="118"/>
      <c r="J9" s="119"/>
      <c r="K9" s="92"/>
      <c r="L9" s="93"/>
      <c r="M9" s="94"/>
      <c r="N9" s="92"/>
      <c r="O9" s="124"/>
      <c r="P9" s="116"/>
      <c r="Q9" s="117"/>
      <c r="R9" s="118"/>
      <c r="S9" s="119"/>
      <c r="T9" s="117"/>
      <c r="U9" s="118"/>
      <c r="V9" s="119"/>
      <c r="W9" s="117"/>
      <c r="X9" s="118"/>
      <c r="Y9" s="94"/>
      <c r="Z9" s="92"/>
      <c r="AA9" s="95"/>
      <c r="AB9" s="91"/>
      <c r="AC9" s="117"/>
      <c r="AD9" s="118"/>
      <c r="AE9" s="119"/>
      <c r="AF9" s="117"/>
      <c r="AG9" s="118"/>
      <c r="AH9" s="119"/>
      <c r="AI9" s="92"/>
      <c r="AJ9" s="93"/>
      <c r="AK9" s="94"/>
      <c r="AL9" s="92"/>
      <c r="AM9" s="124"/>
      <c r="AN9" s="116"/>
      <c r="AO9" s="117"/>
      <c r="AP9" s="118"/>
      <c r="AQ9" s="119"/>
      <c r="AR9" s="117"/>
      <c r="AS9" s="93"/>
      <c r="AT9" s="94"/>
      <c r="AU9" s="92"/>
      <c r="AV9" s="118"/>
      <c r="AW9" s="119"/>
      <c r="AX9" s="117"/>
      <c r="AY9" s="124"/>
      <c r="AZ9" s="116"/>
      <c r="BA9" s="117"/>
      <c r="BB9" s="93"/>
      <c r="BC9" s="94"/>
      <c r="BD9" s="92"/>
      <c r="BE9" s="118"/>
      <c r="BF9" s="119"/>
      <c r="BG9" s="117"/>
      <c r="BH9" s="118"/>
      <c r="BI9" s="119"/>
      <c r="BJ9" s="117"/>
      <c r="BK9" s="124"/>
      <c r="BL9" s="91"/>
      <c r="BM9" s="92"/>
      <c r="BN9" s="93"/>
      <c r="BO9" s="119"/>
      <c r="BP9" s="117"/>
      <c r="BQ9" s="118"/>
      <c r="BR9" s="119"/>
      <c r="BS9" s="117"/>
      <c r="BT9" s="118"/>
      <c r="BU9" s="94"/>
      <c r="BV9" s="92"/>
      <c r="BW9" s="95"/>
      <c r="BX9" s="91"/>
      <c r="BY9" s="92"/>
      <c r="BZ9" s="93"/>
      <c r="CA9" s="94"/>
      <c r="CB9" s="92"/>
      <c r="CC9" s="93"/>
      <c r="CD9" s="94"/>
      <c r="CE9" s="92"/>
      <c r="CF9" s="93"/>
      <c r="CG9" s="94"/>
      <c r="CH9" s="92"/>
      <c r="CI9" s="95"/>
      <c r="CJ9" s="91"/>
      <c r="CK9" s="92"/>
      <c r="CL9" s="93"/>
      <c r="CM9" s="94"/>
      <c r="CN9" s="92"/>
      <c r="CO9" s="93"/>
      <c r="CP9" s="94"/>
      <c r="CQ9" s="92"/>
      <c r="CR9" s="93"/>
      <c r="CS9" s="94"/>
      <c r="CT9" s="92"/>
      <c r="CU9" s="95"/>
    </row>
    <row r="10" spans="1:99" ht="19.5" customHeight="1" thickBot="1" x14ac:dyDescent="0.3">
      <c r="B10" s="132"/>
      <c r="C10" s="102">
        <v>50</v>
      </c>
      <c r="D10" s="96"/>
      <c r="E10" s="97"/>
      <c r="F10" s="122"/>
      <c r="G10" s="123"/>
      <c r="H10" s="121"/>
      <c r="I10" s="122"/>
      <c r="J10" s="99"/>
      <c r="K10" s="97"/>
      <c r="L10" s="122"/>
      <c r="M10" s="123"/>
      <c r="N10" s="121"/>
      <c r="O10" s="125"/>
      <c r="P10" s="120"/>
      <c r="Q10" s="121"/>
      <c r="R10" s="122"/>
      <c r="S10" s="123"/>
      <c r="T10" s="121"/>
      <c r="U10" s="122"/>
      <c r="V10" s="123"/>
      <c r="W10" s="121"/>
      <c r="X10" s="122"/>
      <c r="Y10" s="99"/>
      <c r="Z10" s="97"/>
      <c r="AA10" s="100"/>
      <c r="AB10" s="96"/>
      <c r="AC10" s="97"/>
      <c r="AD10" s="98"/>
      <c r="AE10" s="99"/>
      <c r="AF10" s="121"/>
      <c r="AG10" s="122"/>
      <c r="AH10" s="123"/>
      <c r="AI10" s="97"/>
      <c r="AJ10" s="98"/>
      <c r="AK10" s="123"/>
      <c r="AL10" s="121"/>
      <c r="AM10" s="125"/>
      <c r="AN10" s="120"/>
      <c r="AO10" s="121"/>
      <c r="AP10" s="122"/>
      <c r="AQ10" s="123"/>
      <c r="AR10" s="121"/>
      <c r="AS10" s="98"/>
      <c r="AT10" s="99"/>
      <c r="AU10" s="121"/>
      <c r="AV10" s="122"/>
      <c r="AW10" s="123"/>
      <c r="AX10" s="121"/>
      <c r="AY10" s="125"/>
      <c r="AZ10" s="120"/>
      <c r="BA10" s="121"/>
      <c r="BB10" s="122"/>
      <c r="BC10" s="99"/>
      <c r="BD10" s="97"/>
      <c r="BE10" s="98"/>
      <c r="BF10" s="123"/>
      <c r="BG10" s="121"/>
      <c r="BH10" s="122"/>
      <c r="BI10" s="123"/>
      <c r="BJ10" s="121"/>
      <c r="BK10" s="125"/>
      <c r="BL10" s="120"/>
      <c r="BM10" s="97"/>
      <c r="BN10" s="98"/>
      <c r="BO10" s="123"/>
      <c r="BP10" s="121"/>
      <c r="BQ10" s="122"/>
      <c r="BR10" s="123"/>
      <c r="BS10" s="121"/>
      <c r="BT10" s="122"/>
      <c r="BU10" s="123"/>
      <c r="BV10" s="97"/>
      <c r="BW10" s="100"/>
      <c r="BX10" s="96"/>
      <c r="BY10" s="97"/>
      <c r="BZ10" s="98"/>
      <c r="CA10" s="99"/>
      <c r="CB10" s="97"/>
      <c r="CC10" s="98"/>
      <c r="CD10" s="99"/>
      <c r="CE10" s="97"/>
      <c r="CF10" s="98"/>
      <c r="CG10" s="99"/>
      <c r="CH10" s="97"/>
      <c r="CI10" s="100"/>
      <c r="CJ10" s="96"/>
      <c r="CK10" s="97"/>
      <c r="CL10" s="98"/>
      <c r="CM10" s="99"/>
      <c r="CN10" s="97"/>
      <c r="CO10" s="98"/>
      <c r="CP10" s="99"/>
      <c r="CQ10" s="97"/>
      <c r="CR10" s="98"/>
      <c r="CS10" s="99"/>
      <c r="CT10" s="97"/>
      <c r="CU10" s="100"/>
    </row>
    <row r="11" spans="1:99" ht="19.5" customHeight="1" x14ac:dyDescent="0.25">
      <c r="B11" s="131" t="str">
        <f>Donnees!$C$24</f>
        <v>Test</v>
      </c>
      <c r="C11" s="101">
        <v>5</v>
      </c>
      <c r="D11" s="91"/>
      <c r="E11" s="92"/>
      <c r="F11" s="93"/>
      <c r="G11" s="94"/>
      <c r="H11" s="92"/>
      <c r="I11" s="93"/>
      <c r="J11" s="94"/>
      <c r="K11" s="92"/>
      <c r="L11" s="93"/>
      <c r="M11" s="94"/>
      <c r="N11" s="92"/>
      <c r="O11" s="95"/>
      <c r="P11" s="91"/>
      <c r="Q11" s="92"/>
      <c r="R11" s="93"/>
      <c r="S11" s="94"/>
      <c r="T11" s="92"/>
      <c r="U11" s="93"/>
      <c r="V11" s="94"/>
      <c r="W11" s="92"/>
      <c r="X11" s="93"/>
      <c r="Y11" s="94"/>
      <c r="Z11" s="92"/>
      <c r="AA11" s="124"/>
      <c r="AB11" s="91"/>
      <c r="AC11" s="92"/>
      <c r="AD11" s="93"/>
      <c r="AE11" s="94"/>
      <c r="AF11" s="92"/>
      <c r="AG11" s="93"/>
      <c r="AH11" s="94"/>
      <c r="AI11" s="92"/>
      <c r="AJ11" s="93"/>
      <c r="AK11" s="119"/>
      <c r="AL11" s="92"/>
      <c r="AM11" s="95"/>
      <c r="AN11" s="91"/>
      <c r="AO11" s="92"/>
      <c r="AP11" s="93"/>
      <c r="AQ11" s="94"/>
      <c r="AR11" s="92"/>
      <c r="AS11" s="93"/>
      <c r="AT11" s="94"/>
      <c r="AU11" s="117"/>
      <c r="AV11" s="93"/>
      <c r="AW11" s="94"/>
      <c r="AX11" s="92"/>
      <c r="AY11" s="95"/>
      <c r="AZ11" s="91"/>
      <c r="BA11" s="92"/>
      <c r="BB11" s="93"/>
      <c r="BC11" s="94"/>
      <c r="BD11" s="117"/>
      <c r="BE11" s="93"/>
      <c r="BF11" s="94"/>
      <c r="BG11" s="92"/>
      <c r="BH11" s="93"/>
      <c r="BI11" s="94"/>
      <c r="BJ11" s="92"/>
      <c r="BK11" s="95"/>
      <c r="BL11" s="91"/>
      <c r="BM11" s="92"/>
      <c r="BN11" s="118"/>
      <c r="BO11" s="94"/>
      <c r="BP11" s="92"/>
      <c r="BQ11" s="93"/>
      <c r="BR11" s="94"/>
      <c r="BS11" s="92"/>
      <c r="BT11" s="93"/>
      <c r="BU11" s="94"/>
      <c r="BV11" s="92"/>
      <c r="BW11" s="95"/>
      <c r="BX11" s="91"/>
      <c r="BY11" s="92"/>
      <c r="BZ11" s="93"/>
      <c r="CA11" s="94"/>
      <c r="CB11" s="92"/>
      <c r="CC11" s="93"/>
      <c r="CD11" s="94"/>
      <c r="CE11" s="92"/>
      <c r="CF11" s="93"/>
      <c r="CG11" s="94"/>
      <c r="CH11" s="92"/>
      <c r="CI11" s="95"/>
      <c r="CJ11" s="91"/>
      <c r="CK11" s="92"/>
      <c r="CL11" s="93"/>
      <c r="CM11" s="94"/>
      <c r="CN11" s="92"/>
      <c r="CO11" s="93"/>
      <c r="CP11" s="94"/>
      <c r="CQ11" s="92"/>
      <c r="CR11" s="93"/>
      <c r="CS11" s="94"/>
      <c r="CT11" s="92"/>
      <c r="CU11" s="95"/>
    </row>
    <row r="12" spans="1:99" ht="19.5" customHeight="1" x14ac:dyDescent="0.25">
      <c r="B12" s="132"/>
      <c r="C12" s="102">
        <v>4</v>
      </c>
      <c r="D12" s="96"/>
      <c r="E12" s="97"/>
      <c r="F12" s="98"/>
      <c r="G12" s="99"/>
      <c r="H12" s="97"/>
      <c r="I12" s="98"/>
      <c r="J12" s="99"/>
      <c r="K12" s="97"/>
      <c r="L12" s="98"/>
      <c r="M12" s="99"/>
      <c r="N12" s="97"/>
      <c r="O12" s="100"/>
      <c r="P12" s="96"/>
      <c r="Q12" s="97"/>
      <c r="R12" s="98"/>
      <c r="S12" s="99"/>
      <c r="T12" s="97"/>
      <c r="U12" s="98"/>
      <c r="V12" s="99"/>
      <c r="W12" s="97"/>
      <c r="X12" s="98"/>
      <c r="Y12" s="99"/>
      <c r="Z12" s="97"/>
      <c r="AA12" s="125"/>
      <c r="AB12" s="120"/>
      <c r="AC12" s="97"/>
      <c r="AD12" s="98"/>
      <c r="AE12" s="99"/>
      <c r="AF12" s="97"/>
      <c r="AG12" s="98"/>
      <c r="AH12" s="99"/>
      <c r="AI12" s="97"/>
      <c r="AJ12" s="122"/>
      <c r="AK12" s="99"/>
      <c r="AL12" s="97"/>
      <c r="AM12" s="100"/>
      <c r="AN12" s="96"/>
      <c r="AO12" s="97"/>
      <c r="AP12" s="98"/>
      <c r="AQ12" s="99"/>
      <c r="AR12" s="97"/>
      <c r="AS12" s="98"/>
      <c r="AT12" s="99"/>
      <c r="AU12" s="97"/>
      <c r="AV12" s="98"/>
      <c r="AW12" s="99"/>
      <c r="AX12" s="97"/>
      <c r="AY12" s="100"/>
      <c r="AZ12" s="96"/>
      <c r="BA12" s="97"/>
      <c r="BB12" s="98"/>
      <c r="BC12" s="99"/>
      <c r="BD12" s="97"/>
      <c r="BE12" s="122"/>
      <c r="BF12" s="99"/>
      <c r="BG12" s="97"/>
      <c r="BH12" s="98"/>
      <c r="BI12" s="99"/>
      <c r="BJ12" s="97"/>
      <c r="BK12" s="100"/>
      <c r="BL12" s="96"/>
      <c r="BM12" s="97"/>
      <c r="BN12" s="98"/>
      <c r="BO12" s="99"/>
      <c r="BP12" s="97"/>
      <c r="BQ12" s="98"/>
      <c r="BR12" s="99"/>
      <c r="BS12" s="97"/>
      <c r="BT12" s="98"/>
      <c r="BU12" s="99"/>
      <c r="BV12" s="97"/>
      <c r="BW12" s="100"/>
      <c r="BX12" s="96"/>
      <c r="BY12" s="97"/>
      <c r="BZ12" s="98"/>
      <c r="CA12" s="99"/>
      <c r="CB12" s="97"/>
      <c r="CC12" s="98"/>
      <c r="CD12" s="99"/>
      <c r="CE12" s="97"/>
      <c r="CF12" s="98"/>
      <c r="CG12" s="99"/>
      <c r="CH12" s="97"/>
      <c r="CI12" s="100"/>
      <c r="CJ12" s="96"/>
      <c r="CK12" s="97"/>
      <c r="CL12" s="98"/>
      <c r="CM12" s="99"/>
      <c r="CN12" s="97"/>
      <c r="CO12" s="98"/>
      <c r="CP12" s="99"/>
      <c r="CQ12" s="97"/>
      <c r="CR12" s="98"/>
      <c r="CS12" s="99"/>
      <c r="CT12" s="97"/>
      <c r="CU12" s="100"/>
    </row>
    <row r="13" spans="1:99" ht="19.5" customHeight="1" x14ac:dyDescent="0.25">
      <c r="B13" s="25" t="s">
        <v>16</v>
      </c>
      <c r="C13" s="27">
        <f>SUM($C$3,$C$5,$C$7,$C$9,$C$11)</f>
        <v>69</v>
      </c>
      <c r="D13" s="103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5"/>
      <c r="P13" s="103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5"/>
      <c r="AB13" s="103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5"/>
      <c r="AN13" s="103"/>
      <c r="AO13" s="104"/>
      <c r="AP13" s="104"/>
      <c r="AQ13" s="104"/>
      <c r="AR13" s="104"/>
      <c r="AS13" s="104"/>
      <c r="AT13" s="104"/>
      <c r="AU13" s="104"/>
      <c r="AV13" s="104"/>
      <c r="AW13" s="104"/>
      <c r="AX13" s="104"/>
      <c r="AY13" s="105"/>
      <c r="AZ13" s="103"/>
      <c r="BA13" s="104"/>
      <c r="BB13" s="104"/>
      <c r="BC13" s="104"/>
      <c r="BD13" s="104"/>
      <c r="BE13" s="104"/>
      <c r="BF13" s="104"/>
      <c r="BG13" s="104"/>
      <c r="BH13" s="104"/>
      <c r="BI13" s="104"/>
      <c r="BJ13" s="104"/>
      <c r="BK13" s="105"/>
      <c r="BL13" s="103"/>
      <c r="BM13" s="104"/>
      <c r="BN13" s="104"/>
      <c r="BO13" s="104"/>
      <c r="BP13" s="104"/>
      <c r="BQ13" s="104"/>
      <c r="BR13" s="104"/>
      <c r="BS13" s="104"/>
      <c r="BT13" s="104"/>
      <c r="BU13" s="104"/>
      <c r="BV13" s="104"/>
      <c r="BW13" s="105"/>
      <c r="BX13" s="103"/>
      <c r="BY13" s="104"/>
      <c r="BZ13" s="104"/>
      <c r="CA13" s="104"/>
      <c r="CB13" s="104"/>
      <c r="CC13" s="104"/>
      <c r="CD13" s="104"/>
      <c r="CE13" s="104"/>
      <c r="CF13" s="104"/>
      <c r="CG13" s="104"/>
      <c r="CH13" s="104"/>
      <c r="CI13" s="105"/>
      <c r="CJ13" s="103"/>
      <c r="CK13" s="104"/>
      <c r="CL13" s="104"/>
      <c r="CM13" s="104"/>
      <c r="CN13" s="104"/>
      <c r="CO13" s="104"/>
      <c r="CP13" s="104"/>
      <c r="CQ13" s="104"/>
      <c r="CR13" s="104"/>
      <c r="CS13" s="104"/>
      <c r="CT13" s="104"/>
      <c r="CU13" s="105"/>
    </row>
    <row r="14" spans="1:99" ht="19.5" customHeight="1" thickBot="1" x14ac:dyDescent="0.3">
      <c r="B14" s="26" t="s">
        <v>17</v>
      </c>
      <c r="C14" s="28">
        <f>SUM($C$4,$C$6,$C$8,$C$10,$C$12)</f>
        <v>70</v>
      </c>
      <c r="D14" s="106"/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8"/>
      <c r="P14" s="106"/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8"/>
      <c r="AB14" s="106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8"/>
      <c r="AN14" s="106"/>
      <c r="AO14" s="107"/>
      <c r="AP14" s="107"/>
      <c r="AQ14" s="107"/>
      <c r="AR14" s="107"/>
      <c r="AS14" s="107"/>
      <c r="AT14" s="107"/>
      <c r="AU14" s="107"/>
      <c r="AV14" s="107"/>
      <c r="AW14" s="107"/>
      <c r="AX14" s="107"/>
      <c r="AY14" s="108"/>
      <c r="AZ14" s="106"/>
      <c r="BA14" s="107"/>
      <c r="BB14" s="107"/>
      <c r="BC14" s="107"/>
      <c r="BD14" s="107"/>
      <c r="BE14" s="107"/>
      <c r="BF14" s="107"/>
      <c r="BG14" s="107"/>
      <c r="BH14" s="107"/>
      <c r="BI14" s="107"/>
      <c r="BJ14" s="107"/>
      <c r="BK14" s="108"/>
      <c r="BL14" s="106"/>
      <c r="BM14" s="107"/>
      <c r="BN14" s="107"/>
      <c r="BO14" s="107"/>
      <c r="BP14" s="107"/>
      <c r="BQ14" s="107"/>
      <c r="BR14" s="107"/>
      <c r="BS14" s="107"/>
      <c r="BT14" s="107"/>
      <c r="BU14" s="107"/>
      <c r="BV14" s="107"/>
      <c r="BW14" s="108"/>
      <c r="BX14" s="106"/>
      <c r="BY14" s="107"/>
      <c r="BZ14" s="107"/>
      <c r="CA14" s="107"/>
      <c r="CB14" s="107"/>
      <c r="CC14" s="107"/>
      <c r="CD14" s="107"/>
      <c r="CE14" s="107"/>
      <c r="CF14" s="107"/>
      <c r="CG14" s="107"/>
      <c r="CH14" s="107"/>
      <c r="CI14" s="108"/>
      <c r="CJ14" s="106"/>
      <c r="CK14" s="107"/>
      <c r="CL14" s="107"/>
      <c r="CM14" s="107"/>
      <c r="CN14" s="107"/>
      <c r="CO14" s="107"/>
      <c r="CP14" s="107"/>
      <c r="CQ14" s="107"/>
      <c r="CR14" s="107"/>
      <c r="CS14" s="107"/>
      <c r="CT14" s="107"/>
      <c r="CU14" s="108"/>
    </row>
    <row r="15" spans="1:99" ht="19.5" customHeight="1" x14ac:dyDescent="0.25">
      <c r="C15" s="109"/>
    </row>
    <row r="16" spans="1:99" ht="19.5" customHeight="1" x14ac:dyDescent="0.25">
      <c r="A16" s="110"/>
    </row>
  </sheetData>
  <sheetProtection sheet="1" objects="1" scenarios="1" insertRows="0" selectLockedCells="1"/>
  <mergeCells count="13">
    <mergeCell ref="B11:B12"/>
    <mergeCell ref="CJ2:CU2"/>
    <mergeCell ref="P2:AA2"/>
    <mergeCell ref="AB2:AM2"/>
    <mergeCell ref="AN2:AY2"/>
    <mergeCell ref="AZ2:BK2"/>
    <mergeCell ref="BL2:BW2"/>
    <mergeCell ref="BX2:CI2"/>
    <mergeCell ref="D2:O2"/>
    <mergeCell ref="B3:B4"/>
    <mergeCell ref="B5:B6"/>
    <mergeCell ref="B7:B8"/>
    <mergeCell ref="B9:B10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3" xr:uid="{DC496C28-5CFF-462B-9C16-E0C81FF79CBD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36" t="s">
        <v>21</v>
      </c>
      <c r="C3" s="16">
        <v>0</v>
      </c>
    </row>
    <row r="4" spans="1:4" ht="19.5" customHeight="1" x14ac:dyDescent="0.25">
      <c r="A4" s="19"/>
      <c r="B4" s="139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29225-22E8-4AD0-AC96-9057E5B5092C}">
  <sheetPr codeName="Feuil5"/>
  <dimension ref="A1:I113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 t="s">
        <v>29</v>
      </c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30</v>
      </c>
      <c r="B3" s="4">
        <v>2</v>
      </c>
      <c r="C3" s="114" t="s">
        <v>44</v>
      </c>
      <c r="D3" s="9"/>
    </row>
    <row r="4" spans="1:4" s="53" customFormat="1" x14ac:dyDescent="0.25">
      <c r="A4" s="1" t="s">
        <v>32</v>
      </c>
      <c r="B4" s="2">
        <v>5</v>
      </c>
      <c r="C4" s="115" t="s">
        <v>47</v>
      </c>
      <c r="D4" s="10"/>
    </row>
    <row r="5" spans="1:4" s="53" customFormat="1" x14ac:dyDescent="0.25">
      <c r="A5" s="1" t="s">
        <v>30</v>
      </c>
      <c r="B5" s="2">
        <v>4</v>
      </c>
      <c r="C5" s="115" t="s">
        <v>46</v>
      </c>
      <c r="D5" s="10"/>
    </row>
    <row r="6" spans="1:4" s="53" customFormat="1" x14ac:dyDescent="0.25">
      <c r="A6" s="1" t="s">
        <v>49</v>
      </c>
      <c r="B6" s="2">
        <v>1</v>
      </c>
      <c r="C6" s="115" t="s">
        <v>48</v>
      </c>
      <c r="D6" s="10"/>
    </row>
    <row r="7" spans="1:4" s="53" customFormat="1" x14ac:dyDescent="0.25">
      <c r="B7" s="1"/>
      <c r="C7" s="2"/>
      <c r="D7" s="10"/>
    </row>
    <row r="8" spans="1:4" s="53" customFormat="1" x14ac:dyDescent="0.25">
      <c r="A8" s="1"/>
      <c r="B8" s="2"/>
      <c r="C8" s="2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111" t="s">
        <v>42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49</v>
      </c>
      <c r="B17" s="4">
        <v>1</v>
      </c>
      <c r="C17" s="114" t="s">
        <v>50</v>
      </c>
      <c r="D17" s="9"/>
    </row>
    <row r="18" spans="1:9" x14ac:dyDescent="0.25">
      <c r="A18" s="1" t="s">
        <v>32</v>
      </c>
      <c r="B18" s="2">
        <v>10</v>
      </c>
      <c r="C18" s="115" t="s">
        <v>51</v>
      </c>
      <c r="D18" s="10"/>
    </row>
    <row r="19" spans="1:9" x14ac:dyDescent="0.25">
      <c r="A19" s="1" t="s">
        <v>49</v>
      </c>
      <c r="B19" s="2">
        <v>1</v>
      </c>
      <c r="C19" s="115" t="s">
        <v>48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111" t="s">
        <v>42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49</v>
      </c>
      <c r="B31" s="4">
        <v>1</v>
      </c>
      <c r="C31" s="114" t="s">
        <v>50</v>
      </c>
      <c r="D31" s="9"/>
      <c r="E31" s="20"/>
      <c r="F31" s="41"/>
      <c r="G31" s="41"/>
      <c r="H31" s="41"/>
      <c r="I31" s="20"/>
    </row>
    <row r="32" spans="1:9" x14ac:dyDescent="0.25">
      <c r="A32" s="1" t="s">
        <v>30</v>
      </c>
      <c r="B32" s="2">
        <v>2</v>
      </c>
      <c r="C32" s="115" t="s">
        <v>54</v>
      </c>
      <c r="D32" s="10"/>
      <c r="E32" s="20"/>
      <c r="F32" s="20"/>
      <c r="G32" s="20"/>
      <c r="H32" s="20"/>
      <c r="I32" s="20"/>
    </row>
    <row r="33" spans="1:9" x14ac:dyDescent="0.25">
      <c r="A33" s="1" t="s">
        <v>33</v>
      </c>
      <c r="B33" s="2">
        <v>1</v>
      </c>
      <c r="C33" s="115" t="s">
        <v>55</v>
      </c>
      <c r="D33" s="10"/>
      <c r="E33" s="20"/>
      <c r="F33" s="20"/>
      <c r="G33" s="20"/>
      <c r="H33" s="20"/>
      <c r="I33" s="20"/>
    </row>
    <row r="34" spans="1:9" x14ac:dyDescent="0.25">
      <c r="A34" s="1" t="s">
        <v>31</v>
      </c>
      <c r="B34" s="2">
        <v>1</v>
      </c>
      <c r="C34" s="115" t="s">
        <v>56</v>
      </c>
      <c r="D34" s="10"/>
      <c r="E34" s="20"/>
      <c r="F34" s="20"/>
      <c r="G34" s="20"/>
      <c r="H34" s="20"/>
      <c r="I34" s="20"/>
    </row>
    <row r="35" spans="1:9" x14ac:dyDescent="0.25">
      <c r="A35" s="1" t="s">
        <v>32</v>
      </c>
      <c r="B35" s="2">
        <v>6</v>
      </c>
      <c r="C35" s="115" t="s">
        <v>57</v>
      </c>
      <c r="D35" s="10"/>
    </row>
    <row r="36" spans="1:9" x14ac:dyDescent="0.25">
      <c r="A36" s="1" t="s">
        <v>49</v>
      </c>
      <c r="B36" s="2">
        <v>1</v>
      </c>
      <c r="C36" s="115" t="s">
        <v>48</v>
      </c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111" t="s">
        <v>42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49</v>
      </c>
      <c r="B45" s="4">
        <v>1</v>
      </c>
      <c r="C45" s="114" t="s">
        <v>50</v>
      </c>
      <c r="D45" s="9"/>
    </row>
    <row r="46" spans="1:9" x14ac:dyDescent="0.25">
      <c r="A46" s="1" t="s">
        <v>30</v>
      </c>
      <c r="B46" s="2">
        <v>2</v>
      </c>
      <c r="C46" s="115" t="s">
        <v>54</v>
      </c>
      <c r="D46" s="10"/>
    </row>
    <row r="47" spans="1:9" x14ac:dyDescent="0.25">
      <c r="A47" s="1" t="s">
        <v>33</v>
      </c>
      <c r="B47" s="2">
        <v>1</v>
      </c>
      <c r="C47" s="115" t="s">
        <v>55</v>
      </c>
      <c r="D47" s="10"/>
    </row>
    <row r="48" spans="1:9" x14ac:dyDescent="0.25">
      <c r="A48" s="1" t="s">
        <v>31</v>
      </c>
      <c r="B48" s="2">
        <v>1</v>
      </c>
      <c r="C48" s="115" t="s">
        <v>56</v>
      </c>
      <c r="D48" s="10"/>
    </row>
    <row r="49" spans="1:4" x14ac:dyDescent="0.25">
      <c r="A49" s="1" t="s">
        <v>32</v>
      </c>
      <c r="B49" s="2">
        <v>6</v>
      </c>
      <c r="C49" s="115" t="s">
        <v>58</v>
      </c>
      <c r="D49" s="10"/>
    </row>
    <row r="50" spans="1:4" x14ac:dyDescent="0.25">
      <c r="A50" s="1" t="s">
        <v>49</v>
      </c>
      <c r="B50" s="2">
        <v>1</v>
      </c>
      <c r="C50" s="115" t="s">
        <v>48</v>
      </c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111" t="s">
        <v>42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49</v>
      </c>
      <c r="B59" s="4">
        <v>1</v>
      </c>
      <c r="C59" s="114" t="s">
        <v>50</v>
      </c>
      <c r="D59" s="9"/>
    </row>
    <row r="60" spans="1:4" x14ac:dyDescent="0.25">
      <c r="A60" s="1" t="s">
        <v>30</v>
      </c>
      <c r="B60" s="2">
        <v>2</v>
      </c>
      <c r="C60" s="115" t="s">
        <v>54</v>
      </c>
      <c r="D60" s="10"/>
    </row>
    <row r="61" spans="1:4" x14ac:dyDescent="0.25">
      <c r="A61" s="1" t="s">
        <v>33</v>
      </c>
      <c r="B61" s="2">
        <v>1</v>
      </c>
      <c r="C61" s="115" t="s">
        <v>55</v>
      </c>
      <c r="D61" s="10"/>
    </row>
    <row r="62" spans="1:4" x14ac:dyDescent="0.25">
      <c r="A62" s="1" t="s">
        <v>32</v>
      </c>
      <c r="B62" s="2">
        <v>6</v>
      </c>
      <c r="C62" s="115" t="s">
        <v>59</v>
      </c>
      <c r="D62" s="10"/>
    </row>
    <row r="63" spans="1:4" x14ac:dyDescent="0.25">
      <c r="A63" s="1" t="s">
        <v>49</v>
      </c>
      <c r="B63" s="2">
        <v>1</v>
      </c>
      <c r="C63" s="115" t="s">
        <v>48</v>
      </c>
      <c r="D63" s="10"/>
    </row>
    <row r="64" spans="1:4" x14ac:dyDescent="0.25">
      <c r="A64" s="1"/>
      <c r="B64" s="2"/>
      <c r="C64" s="115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11</v>
      </c>
      <c r="C69" s="111" t="s">
        <v>42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49</v>
      </c>
      <c r="B73" s="4">
        <v>1</v>
      </c>
      <c r="C73" s="114" t="s">
        <v>50</v>
      </c>
      <c r="D73" s="9"/>
    </row>
    <row r="74" spans="1:4" x14ac:dyDescent="0.25">
      <c r="A74" s="1" t="s">
        <v>30</v>
      </c>
      <c r="B74" s="2">
        <v>2</v>
      </c>
      <c r="C74" s="115" t="s">
        <v>54</v>
      </c>
      <c r="D74" s="10"/>
    </row>
    <row r="75" spans="1:4" x14ac:dyDescent="0.25">
      <c r="A75" s="1" t="s">
        <v>33</v>
      </c>
      <c r="B75" s="2">
        <v>1</v>
      </c>
      <c r="C75" s="115" t="s">
        <v>55</v>
      </c>
      <c r="D75" s="10"/>
    </row>
    <row r="76" spans="1:4" x14ac:dyDescent="0.25">
      <c r="A76" s="1" t="s">
        <v>32</v>
      </c>
      <c r="B76" s="2">
        <v>7</v>
      </c>
      <c r="C76" s="115" t="s">
        <v>60</v>
      </c>
      <c r="D76" s="10"/>
    </row>
    <row r="77" spans="1:4" x14ac:dyDescent="0.25">
      <c r="A77" s="1" t="s">
        <v>49</v>
      </c>
      <c r="B77" s="2">
        <v>1</v>
      </c>
      <c r="C77" s="115" t="s">
        <v>48</v>
      </c>
      <c r="D77" s="10"/>
    </row>
    <row r="78" spans="1:4" x14ac:dyDescent="0.25">
      <c r="A78" s="1"/>
      <c r="B78" s="2"/>
      <c r="C78" s="115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111" t="s">
        <v>42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49</v>
      </c>
      <c r="B87" s="4">
        <v>1</v>
      </c>
      <c r="C87" s="114" t="s">
        <v>50</v>
      </c>
      <c r="D87" s="9"/>
    </row>
    <row r="88" spans="1:4" x14ac:dyDescent="0.25">
      <c r="A88" s="1" t="s">
        <v>30</v>
      </c>
      <c r="B88" s="2">
        <v>2</v>
      </c>
      <c r="C88" s="115" t="s">
        <v>54</v>
      </c>
      <c r="D88" s="10"/>
    </row>
    <row r="89" spans="1:4" x14ac:dyDescent="0.25">
      <c r="A89" s="1" t="s">
        <v>33</v>
      </c>
      <c r="B89" s="2">
        <v>1</v>
      </c>
      <c r="C89" s="115" t="s">
        <v>55</v>
      </c>
      <c r="D89" s="10"/>
    </row>
    <row r="90" spans="1:4" x14ac:dyDescent="0.25">
      <c r="A90" s="1" t="s">
        <v>32</v>
      </c>
      <c r="B90" s="2">
        <v>6</v>
      </c>
      <c r="C90" s="115" t="s">
        <v>61</v>
      </c>
      <c r="D90" s="10"/>
    </row>
    <row r="91" spans="1:4" x14ac:dyDescent="0.25">
      <c r="A91" s="1" t="s">
        <v>49</v>
      </c>
      <c r="B91" s="2">
        <v>1</v>
      </c>
      <c r="C91" s="115" t="s">
        <v>48</v>
      </c>
      <c r="D91" s="10"/>
    </row>
    <row r="92" spans="1:4" x14ac:dyDescent="0.25">
      <c r="A92" s="1"/>
      <c r="B92" s="2"/>
      <c r="C92" s="115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11</v>
      </c>
      <c r="C97" s="111" t="s">
        <v>42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111" t="s">
        <v>42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112" t="s">
        <v>43</v>
      </c>
    </row>
  </sheetData>
  <sheetProtection sheet="1" objects="1" scenarios="1" insertRows="0" selectLockedCells="1"/>
  <dataValidations count="4">
    <dataValidation type="list" allowBlank="1" showInputMessage="1" showErrorMessage="1" sqref="A31:A40 A45:A54 A59:A68 A73:A82 A87:A96 A101:A110 A3:A6 A8:A12 A22:A26 A17:A19" xr:uid="{7AC0A75C-3A99-45C0-8EB6-4CDC1127D929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1F47A1E2-E63D-46E0-ACCF-885408DD77E7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F22:F29 B31:B40 B45:B54 B59:B68 B73:B82 B87:B96 B101:B110 B3:B6 B8:B12 B22:B26 B17:B19" xr:uid="{E6560ECC-2C1B-4354-9FCC-165CE97B5944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349E0624-6353-47B5-B625-4A919A3720A2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426A4-2EAB-4550-A153-D77F105E0C4E}">
  <sheetPr codeName="Feuil9"/>
  <dimension ref="A1:I153"/>
  <sheetViews>
    <sheetView workbookViewId="0">
      <selection activeCell="C125" sqref="C12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 t="str">
        <f>Donnees!$C$9</f>
        <v>09,11,2023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30</v>
      </c>
      <c r="B3" s="4">
        <v>2</v>
      </c>
      <c r="C3" s="114" t="s">
        <v>44</v>
      </c>
      <c r="D3" s="9"/>
    </row>
    <row r="4" spans="1:4" s="53" customFormat="1" x14ac:dyDescent="0.25">
      <c r="A4" s="1" t="s">
        <v>32</v>
      </c>
      <c r="B4" s="2">
        <v>4</v>
      </c>
      <c r="C4" s="115" t="s">
        <v>47</v>
      </c>
      <c r="D4" s="10"/>
    </row>
    <row r="5" spans="1:4" s="53" customFormat="1" x14ac:dyDescent="0.25">
      <c r="A5" s="1" t="s">
        <v>30</v>
      </c>
      <c r="B5" s="2">
        <v>2</v>
      </c>
      <c r="C5" s="115" t="s">
        <v>46</v>
      </c>
      <c r="D5" s="10"/>
    </row>
    <row r="6" spans="1:4" s="53" customFormat="1" x14ac:dyDescent="0.25">
      <c r="A6" s="1" t="s">
        <v>32</v>
      </c>
      <c r="B6" s="2">
        <v>3</v>
      </c>
      <c r="C6" s="115" t="s">
        <v>47</v>
      </c>
      <c r="D6" s="10"/>
    </row>
    <row r="7" spans="1:4" s="53" customFormat="1" x14ac:dyDescent="0.25">
      <c r="A7" s="1" t="s">
        <v>49</v>
      </c>
      <c r="B7" s="2">
        <v>1</v>
      </c>
      <c r="C7" s="115" t="s">
        <v>48</v>
      </c>
      <c r="D7" s="10"/>
    </row>
    <row r="8" spans="1:4" s="53" customFormat="1" x14ac:dyDescent="0.25">
      <c r="B8" s="128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13" t="s">
        <v>42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 t="e">
        <f>$D$1+7</f>
        <v>#VALUE!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49</v>
      </c>
      <c r="B22" s="4">
        <v>1</v>
      </c>
      <c r="C22" s="114" t="s">
        <v>50</v>
      </c>
      <c r="D22" s="9"/>
    </row>
    <row r="23" spans="1:9" x14ac:dyDescent="0.25">
      <c r="A23" s="1" t="s">
        <v>32</v>
      </c>
      <c r="B23" s="2">
        <v>5</v>
      </c>
      <c r="C23" s="115" t="s">
        <v>52</v>
      </c>
      <c r="D23" s="10"/>
    </row>
    <row r="24" spans="1:9" x14ac:dyDescent="0.25">
      <c r="A24" s="1" t="s">
        <v>32</v>
      </c>
      <c r="B24" s="2">
        <v>5</v>
      </c>
      <c r="C24" s="115" t="s">
        <v>53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49</v>
      </c>
      <c r="B25" s="2">
        <v>1</v>
      </c>
      <c r="C25" s="115" t="s">
        <v>48</v>
      </c>
      <c r="D25" s="10"/>
      <c r="E25" s="20"/>
      <c r="F25" s="32"/>
      <c r="G25" s="33"/>
      <c r="H25" s="34"/>
      <c r="I25" s="20"/>
    </row>
    <row r="26" spans="1:9" ht="15" x14ac:dyDescent="0.25">
      <c r="B26" s="127"/>
      <c r="C26" s="127"/>
      <c r="D26" s="126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113" t="s">
        <v>42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 t="e">
        <f>$D$20+7</f>
        <v>#VALUE!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49</v>
      </c>
      <c r="B41" s="4">
        <v>1</v>
      </c>
      <c r="C41" s="114" t="s">
        <v>50</v>
      </c>
      <c r="D41" s="9"/>
    </row>
    <row r="42" spans="1:9" x14ac:dyDescent="0.25">
      <c r="A42" s="1" t="s">
        <v>30</v>
      </c>
      <c r="B42" s="2">
        <v>2</v>
      </c>
      <c r="C42" s="115" t="s">
        <v>54</v>
      </c>
      <c r="D42" s="10"/>
    </row>
    <row r="43" spans="1:9" x14ac:dyDescent="0.25">
      <c r="A43" s="1" t="s">
        <v>33</v>
      </c>
      <c r="B43" s="2">
        <v>2</v>
      </c>
      <c r="C43" s="115" t="s">
        <v>55</v>
      </c>
      <c r="D43" s="10"/>
    </row>
    <row r="44" spans="1:9" x14ac:dyDescent="0.25">
      <c r="A44" s="1" t="s">
        <v>31</v>
      </c>
      <c r="B44" s="2">
        <v>3</v>
      </c>
      <c r="C44" s="115" t="s">
        <v>56</v>
      </c>
      <c r="D44" s="10"/>
    </row>
    <row r="45" spans="1:9" x14ac:dyDescent="0.25">
      <c r="A45" s="1" t="s">
        <v>32</v>
      </c>
      <c r="B45" s="2">
        <v>3</v>
      </c>
      <c r="C45" s="115" t="s">
        <v>57</v>
      </c>
      <c r="D45" s="10"/>
    </row>
    <row r="46" spans="1:9" x14ac:dyDescent="0.25">
      <c r="A46" s="1" t="s">
        <v>49</v>
      </c>
      <c r="B46" s="2">
        <v>1</v>
      </c>
      <c r="C46" s="115" t="s">
        <v>48</v>
      </c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113" t="s">
        <v>42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 t="e">
        <f>$D$39+7</f>
        <v>#VALUE!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49</v>
      </c>
      <c r="B60" s="4">
        <v>1</v>
      </c>
      <c r="C60" s="114" t="s">
        <v>50</v>
      </c>
      <c r="D60" s="9"/>
    </row>
    <row r="61" spans="1:4" x14ac:dyDescent="0.25">
      <c r="A61" s="1" t="s">
        <v>30</v>
      </c>
      <c r="B61" s="2">
        <v>1</v>
      </c>
      <c r="C61" s="115" t="s">
        <v>54</v>
      </c>
      <c r="D61" s="10"/>
    </row>
    <row r="62" spans="1:4" x14ac:dyDescent="0.25">
      <c r="A62" s="1" t="s">
        <v>33</v>
      </c>
      <c r="B62" s="2">
        <v>1</v>
      </c>
      <c r="C62" s="115" t="s">
        <v>55</v>
      </c>
      <c r="D62" s="10"/>
    </row>
    <row r="63" spans="1:4" x14ac:dyDescent="0.25">
      <c r="A63" s="1" t="s">
        <v>32</v>
      </c>
      <c r="B63" s="2">
        <v>8</v>
      </c>
      <c r="C63" s="115" t="s">
        <v>58</v>
      </c>
      <c r="D63" s="10"/>
    </row>
    <row r="64" spans="1:4" x14ac:dyDescent="0.25">
      <c r="A64" s="1" t="s">
        <v>49</v>
      </c>
      <c r="B64" s="2">
        <v>1</v>
      </c>
      <c r="C64" s="115" t="s">
        <v>48</v>
      </c>
      <c r="D64" s="10"/>
    </row>
    <row r="65" spans="1:4" x14ac:dyDescent="0.25">
      <c r="A65" s="1"/>
      <c r="B65" s="2"/>
      <c r="C65" s="115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113" t="s">
        <v>42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 t="e">
        <f>$D$58+7</f>
        <v>#VALUE!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49</v>
      </c>
      <c r="B79" s="4">
        <v>1</v>
      </c>
      <c r="C79" s="114" t="s">
        <v>50</v>
      </c>
      <c r="D79" s="9"/>
    </row>
    <row r="80" spans="1:4" x14ac:dyDescent="0.25">
      <c r="A80" s="1" t="s">
        <v>30</v>
      </c>
      <c r="B80" s="2">
        <v>2</v>
      </c>
      <c r="C80" s="115" t="s">
        <v>54</v>
      </c>
      <c r="D80" s="10"/>
    </row>
    <row r="81" spans="1:4" x14ac:dyDescent="0.25">
      <c r="A81" s="1" t="s">
        <v>32</v>
      </c>
      <c r="B81" s="2">
        <v>8</v>
      </c>
      <c r="C81" s="115" t="s">
        <v>59</v>
      </c>
      <c r="D81" s="10"/>
    </row>
    <row r="82" spans="1:4" x14ac:dyDescent="0.25">
      <c r="A82" s="1" t="s">
        <v>49</v>
      </c>
      <c r="B82" s="2">
        <v>1</v>
      </c>
      <c r="C82" s="115" t="s">
        <v>48</v>
      </c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113" t="s">
        <v>42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 t="e">
        <f>$D$77+7</f>
        <v>#VALUE!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49</v>
      </c>
      <c r="B98" s="4">
        <v>1</v>
      </c>
      <c r="C98" s="114" t="s">
        <v>50</v>
      </c>
      <c r="D98" s="9"/>
    </row>
    <row r="99" spans="1:4" x14ac:dyDescent="0.25">
      <c r="A99" s="1" t="s">
        <v>30</v>
      </c>
      <c r="B99" s="2">
        <v>2</v>
      </c>
      <c r="C99" s="115" t="s">
        <v>54</v>
      </c>
      <c r="D99" s="10"/>
    </row>
    <row r="100" spans="1:4" x14ac:dyDescent="0.25">
      <c r="A100" s="1" t="s">
        <v>33</v>
      </c>
      <c r="B100" s="2">
        <v>1</v>
      </c>
      <c r="C100" s="115" t="s">
        <v>55</v>
      </c>
      <c r="D100" s="10"/>
    </row>
    <row r="101" spans="1:4" x14ac:dyDescent="0.25">
      <c r="A101" s="1" t="s">
        <v>32</v>
      </c>
      <c r="B101" s="2">
        <v>7</v>
      </c>
      <c r="C101" s="115" t="s">
        <v>60</v>
      </c>
      <c r="D101" s="10"/>
    </row>
    <row r="102" spans="1:4" x14ac:dyDescent="0.25">
      <c r="A102" s="1" t="s">
        <v>49</v>
      </c>
      <c r="B102" s="2">
        <v>1</v>
      </c>
      <c r="C102" s="115" t="s">
        <v>48</v>
      </c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113" t="s">
        <v>42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 t="e">
        <f>$D$96+7</f>
        <v>#VALUE!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49</v>
      </c>
      <c r="B117" s="4">
        <v>1</v>
      </c>
      <c r="C117" s="114" t="s">
        <v>50</v>
      </c>
      <c r="D117" s="9"/>
    </row>
    <row r="118" spans="1:4" x14ac:dyDescent="0.25">
      <c r="A118" s="1" t="s">
        <v>30</v>
      </c>
      <c r="B118" s="2">
        <v>2</v>
      </c>
      <c r="C118" s="115" t="s">
        <v>54</v>
      </c>
      <c r="D118" s="10"/>
    </row>
    <row r="119" spans="1:4" x14ac:dyDescent="0.25">
      <c r="A119" s="1" t="s">
        <v>32</v>
      </c>
      <c r="B119" s="2">
        <v>7</v>
      </c>
      <c r="C119" s="115" t="s">
        <v>61</v>
      </c>
      <c r="D119" s="10"/>
    </row>
    <row r="120" spans="1:4" x14ac:dyDescent="0.25">
      <c r="A120" s="1" t="s">
        <v>49</v>
      </c>
      <c r="B120" s="2">
        <v>1</v>
      </c>
      <c r="C120" s="115" t="s">
        <v>48</v>
      </c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11</v>
      </c>
      <c r="C132" s="113" t="s">
        <v>42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 t="e">
        <f>$D$115+7</f>
        <v>#VALUE!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113" t="s">
        <v>42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112" t="s">
        <v>43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CBCC67A2-B757-477F-AB81-A35FA5625255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36:B150 B9:B17 B60:B74 B84:B93 B98:B112 B41:B55 B22:B25 B27:B36 B3:B7 B79:B82 B117:B121 B123:B131" xr:uid="{07AEA46D-EF1C-459D-9BB6-1373488A0C5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481286D5-545F-43EE-A8FF-AEF3AEB01556}">
      <formula1>0</formula1>
      <formula2>NbPerWeek * NbQuartPer</formula2>
    </dataValidation>
    <dataValidation type="list" allowBlank="1" showInputMessage="1" showErrorMessage="1" sqref="A136:A150 A9:A17 A60:A74 A84:A93 A98:A112 A41:A55 A22:A25 A27:A36 A3:A7 A79:A82 A117:A121 A123:A131" xr:uid="{603CF9CC-6DAF-4BB6-88EE-BDFF39C404AB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B433C9A-8A3A-4D69-955C-F3F07BFE31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Felix Sierro</dc:creator>
  <cp:lastModifiedBy>Felix Sierro</cp:lastModifiedBy>
  <cp:lastPrinted>2013-08-29T11:33:15Z</cp:lastPrinted>
  <dcterms:created xsi:type="dcterms:W3CDTF">1996-10-21T11:03:58Z</dcterms:created>
  <dcterms:modified xsi:type="dcterms:W3CDTF">2023-12-21T15:20:03Z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